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 activeTab="1"/>
  </bookViews>
  <sheets>
    <sheet name="Data" sheetId="1" r:id="rId5"/>
    <sheet name="Ünïcödé sheet" sheetId="2" r:id="rId6"/>
    <sheet name="Hidden" state="hidden" sheetId="3" r:id="rId7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<sst xmlns="http://schemas.openxmlformats.org/spreadsheetml/2006/main" uniqueCount="30">
  <si>
    <t>id</t>
  </si>
  <si>
    <t>amount</t>
  </si>
  <si>
    <t>name</t>
  </si>
  <si>
    <t>note</t>
  </si>
  <si>
    <t>rich</t>
  </si>
  <si>
    <t>astext</t>
  </si>
  <si>
    <t>when</t>
  </si>
  <si>
    <t>day</t>
  </si>
  <si>
    <t>at</t>
  </si>
  <si>
    <t>bigtime</t>
  </si>
  <si>
    <t>elapsed</t>
  </si>
  <si>
    <t>badserial</t>
  </si>
  <si>
    <t>flag</t>
  </si>
  <si>
    <t>pct</t>
  </si>
  <si>
    <t>money</t>
  </si>
  <si>
    <t>err</t>
  </si>
  <si>
    <t>calc</t>
  </si>
  <si>
    <t>alice</t>
  </si>
  <si>
    <t xml:space="preserve">  padded  </t>
  </si>
  <si>
    <r>
      <rPr>
        <sz val="10"/>
        <color indexed="8"/>
        <rFont val="Helvetica Neue"/>
      </rPr>
      <t xml:space="preserve">plain </t>
    </r>
    <r>
      <rPr>
        <b val="1"/>
        <sz val="10"/>
        <color indexed="8"/>
        <rFont val="Helvetica Neue"/>
      </rPr>
      <t>bold</t>
    </r>
    <r>
      <rPr>
        <sz val="10"/>
        <color indexed="8"/>
        <rFont val="Helvetica Neue"/>
      </rPr>
      <t xml:space="preserve"> tail</t>
    </r>
  </si>
  <si>
    <t>123</t>
  </si>
  <si>
    <t>bob, jr</t>
  </si>
  <si>
    <t>x &lt;&amp;&gt; "y"</t>
  </si>
  <si>
    <t>2024-01-31</t>
  </si>
  <si>
    <t>1900-02-29</t>
  </si>
  <si>
    <t>bob, jr!</t>
  </si>
  <si>
    <t>日本語 é 🙂</t>
  </si>
  <si>
    <t>TRUE</t>
  </si>
  <si>
    <t>Z8</t>
  </si>
  <si>
    <t>merged</t>
  </si>
</sst>
</file>

<file path=xl/styles.xml><?xml version="1.0" encoding="utf-8"?>
<styleSheet xmlns="http://schemas.openxmlformats.org/spreadsheetml/2006/main">
  <numFmts count="15">
    <numFmt numFmtId="0" formatCode="General"/>
    <numFmt numFmtId="59" formatCode="yyyy-mm-dd h:mm:ss"/>
    <numFmt numFmtId="60" formatCode="yyyy-mm-dd"/>
    <numFmt numFmtId="61" formatCode="yyyy-mm-dd h:mm"/>
    <numFmt numFmtId="62" formatCode="&quot;$&quot;0.00"/>
    <numFmt numFmtId="63" formatCode="0.0%"/>
    <numFmt numFmtId="64" formatCode="&quot;$&quot;#,##0.00"/>
    <numFmt numFmtId="65" formatCode="[$€-2]0.00"/>
    <numFmt numFmtId="66" formatCode="#,###&quot; h&quot;"/>
    <numFmt numFmtId="67" formatCode="h&quot; hours&quot;"/>
    <numFmt numFmtId="68" formatCode="0.00;[Red]0.00"/>
    <numFmt numFmtId="69" formatCode="0.00_);\(0.00\)"/>
    <numFmt numFmtId="70" formatCode="&quot;Year &quot;yyyy"/>
    <numFmt numFmtId="71" formatCode="dddd, mmmm d, yyyy"/>
    <numFmt numFmtId="72" formatCode="[h]:mm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59" fontId="0" borderId="4" applyNumberFormat="1" applyFont="1" applyFill="0" applyBorder="1" applyAlignment="1" applyProtection="0">
      <alignment vertical="top" wrapText="1"/>
    </xf>
    <xf numFmtId="60" fontId="0" borderId="4" applyNumberFormat="1" applyFont="1" applyFill="0" applyBorder="1" applyAlignment="1" applyProtection="0">
      <alignment vertical="top" wrapText="1"/>
    </xf>
    <xf numFmtId="21" fontId="0" borderId="4" applyNumberFormat="1" applyFont="1" applyFill="0" applyBorder="1" applyAlignment="1" applyProtection="0">
      <alignment vertical="top" wrapText="1"/>
    </xf>
    <xf numFmtId="61" fontId="0" borderId="4" applyNumberFormat="1" applyFont="1" applyFill="0" applyBorder="1" applyAlignment="1" applyProtection="0">
      <alignment vertical="top" wrapText="1"/>
    </xf>
    <xf numFmtId="46" fontId="0" borderId="4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9" fontId="0" borderId="4" applyNumberFormat="1" applyFont="1" applyFill="0" applyBorder="1" applyAlignment="1" applyProtection="0">
      <alignment vertical="top" wrapText="1"/>
    </xf>
    <xf numFmtId="62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60" fontId="0" borderId="7" applyNumberFormat="1" applyFont="1" applyFill="0" applyBorder="1" applyAlignment="1" applyProtection="0">
      <alignment vertical="top" wrapText="1"/>
    </xf>
    <xf numFmtId="21" fontId="0" borderId="7" applyNumberFormat="1" applyFont="1" applyFill="0" applyBorder="1" applyAlignment="1" applyProtection="0">
      <alignment vertical="top" wrapText="1"/>
    </xf>
    <xf numFmtId="46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63" fontId="0" borderId="7" applyNumberFormat="1" applyFont="1" applyFill="0" applyBorder="1" applyAlignment="1" applyProtection="0">
      <alignment vertical="top" wrapText="1"/>
    </xf>
    <xf numFmtId="64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1" fontId="0" borderId="6" applyNumberFormat="1" applyFont="1" applyFill="0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vertical="top" wrapText="1"/>
    </xf>
    <xf numFmtId="61" fontId="0" borderId="7" applyNumberFormat="1" applyFont="1" applyFill="0" applyBorder="1" applyAlignment="1" applyProtection="0">
      <alignment vertical="top" wrapText="1"/>
    </xf>
    <xf numFmtId="9" fontId="0" borderId="7" applyNumberFormat="1" applyFont="1" applyFill="0" applyBorder="1" applyAlignment="1" applyProtection="0">
      <alignment vertical="top" wrapText="1"/>
    </xf>
    <xf numFmtId="65" fontId="0" borderId="7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66" fontId="2" fillId="3" borderId="5" applyNumberFormat="1" applyFont="1" applyFill="1" applyBorder="1" applyAlignment="1" applyProtection="0">
      <alignment vertical="top" wrapText="1"/>
    </xf>
    <xf numFmtId="67" fontId="0" borderId="6" applyNumberFormat="1" applyFont="1" applyFill="0" applyBorder="1" applyAlignment="1" applyProtection="0">
      <alignment vertical="top" wrapText="1"/>
    </xf>
    <xf numFmtId="68" fontId="0" borderId="7" applyNumberFormat="1" applyFont="1" applyFill="0" applyBorder="1" applyAlignment="1" applyProtection="0">
      <alignment vertical="top" wrapText="1"/>
    </xf>
    <xf numFmtId="69" fontId="0" borderId="7" applyNumberFormat="1" applyFont="1" applyFill="0" applyBorder="1" applyAlignment="1" applyProtection="0">
      <alignment vertical="top" wrapText="1"/>
    </xf>
    <xf numFmtId="70" fontId="0" borderId="7" applyNumberFormat="1" applyFont="1" applyFill="0" applyBorder="1" applyAlignment="1" applyProtection="0">
      <alignment vertical="top" wrapText="1"/>
    </xf>
    <xf numFmtId="71" fontId="0" borderId="7" applyNumberFormat="1" applyFont="1" applyFill="0" applyBorder="1" applyAlignment="1" applyProtection="0">
      <alignment vertical="top" wrapText="1"/>
    </xf>
    <xf numFmtId="45" fontId="0" borderId="7" applyNumberFormat="1" applyFont="1" applyFill="0" applyBorder="1" applyAlignment="1" applyProtection="0">
      <alignment vertical="top" wrapText="1"/>
    </xf>
    <xf numFmtId="72" fontId="0" borderId="7" applyNumberFormat="1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2" borderId="1" applyNumberFormat="1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Z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3.85156" style="1" customWidth="1"/>
    <col min="2" max="2" width="16.3516" style="1" customWidth="1"/>
    <col min="3" max="3" width="14.8516" style="1" customWidth="1"/>
    <col min="4" max="4" width="10.5" style="1" customWidth="1"/>
    <col min="5" max="5" width="11.6719" style="1" customWidth="1"/>
    <col min="6" max="6" width="10.1719" style="1" customWidth="1"/>
    <col min="7" max="7" width="17.1719" style="1" customWidth="1"/>
    <col min="8" max="8" width="20.8516" style="1" customWidth="1"/>
    <col min="9" max="9" width="8" style="1" customWidth="1"/>
    <col min="10" max="10" width="14.8516" style="1" customWidth="1"/>
    <col min="11" max="12" width="10.1719" style="1" customWidth="1"/>
    <col min="13" max="13" width="6.5" style="1" customWidth="1"/>
    <col min="14" max="14" width="6" style="1" customWidth="1"/>
    <col min="15" max="15" width="8.85156" style="1" customWidth="1"/>
    <col min="16" max="16" width="3.67188" style="1" customWidth="1"/>
    <col min="17" max="25" width="10.1719" style="1" customWidth="1"/>
    <col min="26" max="26" width="3.5" style="1" customWidth="1"/>
    <col min="27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s="3"/>
      <c r="S1" s="3"/>
      <c r="T1" s="3"/>
      <c r="U1" s="3"/>
      <c r="V1" s="3"/>
      <c r="W1" s="3"/>
      <c r="X1" s="3"/>
      <c r="Y1" s="3"/>
      <c r="Z1" s="3"/>
    </row>
    <row r="2" ht="20.3" customHeight="1">
      <c r="A2" s="4">
        <v>1</v>
      </c>
      <c r="B2" s="5">
        <v>2.5</v>
      </c>
      <c r="C2" t="s" s="6">
        <v>17</v>
      </c>
      <c r="D2" t="s" s="6">
        <v>18</v>
      </c>
      <c r="E2" t="s" s="6">
        <v>19</v>
      </c>
      <c r="F2" t="s" s="6">
        <v>20</v>
      </c>
      <c r="G2" s="7">
        <v>45322.4375</v>
      </c>
      <c r="H2" s="8">
        <v>45000</v>
      </c>
      <c r="I2" s="9">
        <v>46319.627835648149</v>
      </c>
      <c r="J2" s="10">
        <v>2.5</v>
      </c>
      <c r="K2" s="11">
        <v>1.5</v>
      </c>
      <c r="L2" s="12">
        <v>-1</v>
      </c>
      <c r="M2" t="b" s="12">
        <v>1</v>
      </c>
      <c r="N2" s="13">
        <v>0.25</v>
      </c>
      <c r="O2" s="14">
        <v>-7</v>
      </c>
      <c r="P2" s="15" cm="1">
        <f t="array" ref="P2">1/0</f>
      </c>
      <c r="Q2" s="12" cm="1">
        <f t="array" ref="Q2">A2*2</f>
        <v>2</v>
      </c>
      <c r="R2" s="15"/>
      <c r="S2" s="15"/>
      <c r="T2" s="15"/>
      <c r="U2" s="15"/>
      <c r="V2" s="15"/>
      <c r="W2" s="15"/>
      <c r="X2" s="15"/>
      <c r="Y2" s="15"/>
      <c r="Z2" s="15"/>
    </row>
    <row r="3" ht="20.05" customHeight="1">
      <c r="A3" s="16">
        <v>2</v>
      </c>
      <c r="B3" s="17">
        <v>-7</v>
      </c>
      <c r="C3" t="s" s="18">
        <v>21</v>
      </c>
      <c r="D3" t="s" s="18">
        <v>22</v>
      </c>
      <c r="E3" t="s" s="18">
        <v>20</v>
      </c>
      <c r="F3" t="s" s="18">
        <v>23</v>
      </c>
      <c r="G3" t="s" s="18">
        <v>24</v>
      </c>
      <c r="H3" s="19">
        <v>60</v>
      </c>
      <c r="I3" s="20">
        <v>46319</v>
      </c>
      <c r="J3" s="20">
        <v>46319.5</v>
      </c>
      <c r="K3" s="21">
        <v>0.001</v>
      </c>
      <c r="L3" s="22">
        <v>60</v>
      </c>
      <c r="M3" t="b" s="22">
        <v>0</v>
      </c>
      <c r="N3" s="23">
        <v>0.001</v>
      </c>
      <c r="O3" s="24">
        <v>1234.56</v>
      </c>
      <c r="P3" s="25" cm="1">
        <f t="array" ref="P3">MATCH("zz",C2:C4,0)</f>
      </c>
      <c r="Q3" t="str" s="25" cm="1">
        <f t="array" ref="Q3">C3&amp;"!"</f>
        <v>bob, jr!</v>
      </c>
      <c r="R3" s="25"/>
      <c r="S3" s="25"/>
      <c r="T3" s="25"/>
      <c r="U3" s="25"/>
      <c r="V3" s="25"/>
      <c r="W3" s="25"/>
      <c r="X3" s="25"/>
      <c r="Y3" s="25"/>
      <c r="Z3" s="25"/>
    </row>
    <row r="4" ht="25.35" customHeight="1">
      <c r="A4" s="16">
        <v>3</v>
      </c>
      <c r="B4" s="26">
        <v>1000000000000000</v>
      </c>
      <c r="C4" s="25"/>
      <c r="D4" t="s" s="18">
        <v>26</v>
      </c>
      <c r="E4" t="str" s="25" cm="1">
        <f t="array" ref="E4">""</f>
      </c>
      <c r="F4" t="s" s="18">
        <v>27</v>
      </c>
      <c r="G4" s="27">
        <v>2958465.999988426</v>
      </c>
      <c r="H4" s="19">
        <v>61</v>
      </c>
      <c r="I4" s="20" cm="1">
        <f t="array" ref="I4">TIME(23,59,59.5)</f>
        <v>1462.999988425926</v>
      </c>
      <c r="J4" s="28">
        <v>3.25</v>
      </c>
      <c r="K4" s="21">
        <v>100</v>
      </c>
      <c r="L4" s="22">
        <v>2958466</v>
      </c>
      <c r="M4" t="b" s="22" cm="1">
        <f t="array" ref="M4">TRUE</f>
        <v>1</v>
      </c>
      <c r="N4" s="29">
        <v>1</v>
      </c>
      <c r="O4" s="30">
        <v>3</v>
      </c>
      <c r="P4" s="25" cm="1">
        <f t="array" ref="P4">VALUE("x")</f>
      </c>
      <c r="Q4" s="19" cm="1">
        <f t="array" ref="Q4">DATE(2024,1,31)</f>
        <v>45322</v>
      </c>
      <c r="R4" s="19"/>
      <c r="S4" s="19"/>
      <c r="T4" s="19"/>
      <c r="U4" s="19"/>
      <c r="V4" s="19"/>
      <c r="W4" s="19"/>
      <c r="X4" s="19"/>
      <c r="Y4" s="19"/>
      <c r="Z4" s="19"/>
    </row>
    <row r="5" ht="20.05" customHeight="1">
      <c r="A5" s="31"/>
      <c r="B5" s="32"/>
      <c r="C5" s="25"/>
      <c r="D5" s="25"/>
      <c r="E5" s="25"/>
      <c r="F5" s="18"/>
      <c r="G5" s="27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20.05" customHeight="1">
      <c r="A6" s="33">
        <v>5</v>
      </c>
      <c r="B6" s="34">
        <v>6</v>
      </c>
      <c r="C6" s="28">
        <v>45001.5</v>
      </c>
      <c r="D6" s="35">
        <v>-3.5</v>
      </c>
      <c r="E6" s="36">
        <v>-3.5</v>
      </c>
      <c r="F6" s="19">
        <v>45001</v>
      </c>
      <c r="G6" s="37">
        <v>45001</v>
      </c>
      <c r="H6" s="38">
        <v>45001</v>
      </c>
      <c r="I6" s="39">
        <v>46319.5</v>
      </c>
      <c r="J6" s="40">
        <v>1.5</v>
      </c>
      <c r="K6" s="19">
        <v>45001</v>
      </c>
      <c r="L6" s="19">
        <v>45001</v>
      </c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20.05" customHeight="1">
      <c r="A7" s="31"/>
      <c r="B7" s="32"/>
      <c r="C7" s="25"/>
      <c r="D7" s="25"/>
      <c r="E7" s="25"/>
      <c r="F7" s="18"/>
      <c r="G7" s="27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20.05" customHeight="1">
      <c r="A8" s="16">
        <v>8</v>
      </c>
      <c r="B8" s="32"/>
      <c r="C8" s="25"/>
      <c r="D8" s="25"/>
      <c r="E8" s="25"/>
      <c r="F8" s="18"/>
      <c r="G8" s="27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t="s" s="18">
        <v>28</v>
      </c>
    </row>
    <row r="9" ht="20.05" customHeight="1">
      <c r="A9" s="31"/>
      <c r="B9" s="32"/>
      <c r="C9" s="25"/>
      <c r="D9" s="25"/>
      <c r="E9" s="25"/>
      <c r="F9" s="18"/>
      <c r="G9" s="27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20.05" customHeight="1">
      <c r="A10" s="31"/>
      <c r="B10" t="s" s="41">
        <v>29</v>
      </c>
      <c r="C10" s="25"/>
      <c r="D10" s="25"/>
      <c r="E10" s="25"/>
      <c r="F10" s="18"/>
      <c r="G10" s="27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</sheetData>
  <mergeCells count="1">
    <mergeCell ref="B10:C10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42" customWidth="1"/>
    <col min="3" max="16384" width="16.3516" style="42" customWidth="1"/>
  </cols>
  <sheetData>
    <row r="1" ht="20.25" customHeight="1">
      <c r="A1" s="43">
        <v>1</v>
      </c>
      <c r="B1" s="3"/>
    </row>
    <row r="2" ht="20.25" customHeight="1">
      <c r="A2" s="44"/>
      <c r="B2" s="4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46" customWidth="1"/>
    <col min="3" max="16384" width="16.3516" style="46" customWidth="1"/>
  </cols>
  <sheetData>
    <row r="1" ht="20.25" customHeight="1">
      <c r="A1" s="3"/>
      <c r="B1" s="3"/>
    </row>
    <row r="2" ht="20.25" customHeight="1">
      <c r="A2" s="44"/>
      <c r="B2" s="4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